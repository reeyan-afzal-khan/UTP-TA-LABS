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Colab Notebooks\UTP - Log Book\1.Work\GA_TA-Work_Labs\TFB1123-TEB1073 ERP LAB\Tutorials-TA\"/>
    </mc:Choice>
  </mc:AlternateContent>
  <xr:revisionPtr revIDLastSave="0" documentId="13_ncr:1_{C20EF594-4AFC-44F6-B513-B58C748EE74A}" xr6:coauthVersionLast="47" xr6:coauthVersionMax="47" xr10:uidLastSave="{00000000-0000-0000-0000-000000000000}"/>
  <bookViews>
    <workbookView xWindow="30900" yWindow="3375" windowWidth="21600" windowHeight="11295" xr2:uid="{26444B67-54A1-4F77-B2AF-53DDD6BC80B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22" i="1"/>
  <c r="F22" i="1"/>
  <c r="G22" i="1"/>
  <c r="H22" i="1"/>
  <c r="I22" i="1"/>
  <c r="J22" i="1"/>
  <c r="K22" i="1"/>
  <c r="L22" i="1"/>
  <c r="M22" i="1"/>
  <c r="N22" i="1"/>
  <c r="O22" i="1"/>
  <c r="D22" i="1"/>
  <c r="E21" i="1"/>
  <c r="F21" i="1"/>
  <c r="G21" i="1"/>
  <c r="H21" i="1"/>
  <c r="I21" i="1"/>
  <c r="J21" i="1"/>
  <c r="K21" i="1"/>
  <c r="L21" i="1"/>
  <c r="M21" i="1"/>
  <c r="N21" i="1"/>
  <c r="O21" i="1"/>
  <c r="D21" i="1"/>
  <c r="E20" i="1"/>
  <c r="F20" i="1"/>
  <c r="G20" i="1"/>
  <c r="H20" i="1"/>
  <c r="I20" i="1"/>
  <c r="J20" i="1"/>
  <c r="K20" i="1"/>
  <c r="L20" i="1"/>
  <c r="M20" i="1"/>
  <c r="N20" i="1"/>
  <c r="O20" i="1"/>
  <c r="D20" i="1"/>
  <c r="D19" i="1"/>
  <c r="E18" i="1"/>
  <c r="E19" i="1" s="1"/>
  <c r="F18" i="1"/>
  <c r="F19" i="1" s="1"/>
  <c r="G18" i="1"/>
  <c r="G19" i="1" s="1"/>
  <c r="H18" i="1"/>
  <c r="I18" i="1"/>
  <c r="I19" i="1" s="1"/>
  <c r="J18" i="1"/>
  <c r="J19" i="1" s="1"/>
  <c r="K18" i="1"/>
  <c r="K19" i="1" s="1"/>
  <c r="L18" i="1"/>
  <c r="M18" i="1"/>
  <c r="N18" i="1"/>
  <c r="N19" i="1" s="1"/>
  <c r="O18" i="1"/>
  <c r="O19" i="1" s="1"/>
  <c r="D16" i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L19" i="1"/>
  <c r="M19" i="1"/>
  <c r="H19" i="1"/>
  <c r="D7" i="1"/>
  <c r="D8" i="1" s="1"/>
  <c r="D10" i="1" s="1"/>
  <c r="E7" i="1"/>
  <c r="E8" i="1" s="1"/>
  <c r="E10" i="1" s="1"/>
  <c r="F7" i="1"/>
  <c r="F8" i="1" s="1"/>
  <c r="F10" i="1" s="1"/>
  <c r="G7" i="1"/>
  <c r="G8" i="1" s="1"/>
  <c r="G10" i="1" s="1"/>
  <c r="H7" i="1"/>
  <c r="H8" i="1" s="1"/>
  <c r="H10" i="1" s="1"/>
  <c r="I7" i="1"/>
  <c r="I8" i="1" s="1"/>
  <c r="I10" i="1" s="1"/>
  <c r="J7" i="1"/>
  <c r="J8" i="1" s="1"/>
  <c r="J10" i="1" s="1"/>
  <c r="K7" i="1"/>
  <c r="K8" i="1" s="1"/>
  <c r="K10" i="1" s="1"/>
  <c r="L7" i="1"/>
  <c r="L8" i="1" s="1"/>
  <c r="L10" i="1" s="1"/>
  <c r="M7" i="1"/>
  <c r="M8" i="1" s="1"/>
  <c r="M10" i="1" s="1"/>
  <c r="N7" i="1"/>
  <c r="N8" i="1" s="1"/>
  <c r="N10" i="1" s="1"/>
  <c r="C7" i="1"/>
  <c r="C8" i="1" s="1"/>
  <c r="C10" i="1" s="1"/>
</calcChain>
</file>

<file path=xl/sharedStrings.xml><?xml version="1.0" encoding="utf-8"?>
<sst xmlns="http://schemas.openxmlformats.org/spreadsheetml/2006/main" count="45" uniqueCount="32">
  <si>
    <t>Sales Forecasting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</si>
  <si>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</si>
  <si>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</si>
  <si>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</si>
  <si>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</si>
  <si>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</si>
  <si>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</si>
  <si>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</si>
  <si>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</si>
  <si>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</si>
  <si>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</si>
  <si>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</si>
  <si>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</si>
  <si>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Previous Year (pairs sold)</t>
  </si>
  <si>
    <t>Promotion</t>
  </si>
  <si>
    <t>Previous Year base (pairs sold)</t>
  </si>
  <si>
    <t>Growth [3%]</t>
  </si>
  <si>
    <t>Base projection</t>
  </si>
  <si>
    <t>Sales forecasat</t>
  </si>
  <si>
    <t>Sales Forecast for Footloose Sport Shoes for year 2022</t>
  </si>
  <si>
    <t>Sales and Operational Planning for Footloose Sport Shoes for year 2022</t>
  </si>
  <si>
    <t>Sales and Operational Planning</t>
  </si>
  <si>
    <t>Dec</t>
  </si>
  <si>
    <t>Sales Forecast</t>
  </si>
  <si>
    <t>Production Plan</t>
  </si>
  <si>
    <t>Inventory</t>
  </si>
  <si>
    <t>Working Days</t>
  </si>
  <si>
    <t>Capacity (shipping)</t>
  </si>
  <si>
    <t>Utilization</t>
  </si>
  <si>
    <t>Air Storm [50%]</t>
  </si>
  <si>
    <t>Sky High [30%]</t>
  </si>
  <si>
    <t>Gravity Kicks [20%]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</si>
</sst>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27E2-153B-4DB0-B9E3-48652076920B}">
  <dimension ref="B1:Q22"/>
  <sheetViews>
    <sheetView tabSelected="1" topLeftCell="A7" zoomScale="70" zoomScaleNormal="70" workbookViewId="0">
      <selection activeCell="T20" sqref="T20"/>
    </sheetView>
  </sheetViews>
  <sheetFormatPr defaultRowHeight="23.25" customHeight="1" x14ac:dyDescent="0.25"/>
  <cols>
    <col min="1" max="1" width="3.28515625" customWidth="1"/>
    <col min="2" max="2" width="38.5703125" bestFit="1" customWidth="1"/>
    <col min="3" max="13" width="9.85546875" customWidth="1"/>
    <col min="14" max="14" width="12.42578125" bestFit="1" customWidth="1"/>
    <col min="15" max="15" width="12.140625" bestFit="1" customWidth="1"/>
  </cols>
  <sheetData>
    <row r="1" spans="2:17" ht="10.5" customHeight="1" x14ac:dyDescent="0.25"/>
    <row r="2" spans="2:17" ht="23.25" customHeight="1" x14ac:dyDescent="0.25">
      <c r="B2" s="9" t="s">
        <v>19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17" ht="23.25" customHeight="1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2:17" ht="23.25" customHeight="1" x14ac:dyDescent="0.25">
      <c r="B4" s="2" t="s">
        <v>13</v>
      </c>
      <c r="C4" s="1">
        <v>4000</v>
      </c>
      <c r="D4" s="1">
        <v>4000</v>
      </c>
      <c r="E4" s="1">
        <v>4500</v>
      </c>
      <c r="F4" s="1">
        <v>5000</v>
      </c>
      <c r="G4" s="1">
        <v>5000</v>
      </c>
      <c r="H4" s="1">
        <v>5500</v>
      </c>
      <c r="I4" s="1">
        <v>5500</v>
      </c>
      <c r="J4" s="1">
        <v>5750</v>
      </c>
      <c r="K4" s="1">
        <v>6000</v>
      </c>
      <c r="L4" s="1">
        <v>6000</v>
      </c>
      <c r="M4" s="1">
        <v>6200</v>
      </c>
      <c r="N4" s="1">
        <v>6300</v>
      </c>
    </row>
    <row r="5" spans="2:17" ht="23.25" customHeight="1" x14ac:dyDescent="0.25">
      <c r="B5" s="2" t="s">
        <v>14</v>
      </c>
      <c r="C5" s="1"/>
      <c r="D5" s="1"/>
      <c r="E5" s="1"/>
      <c r="F5" s="1"/>
      <c r="G5" s="1"/>
      <c r="H5" s="1">
        <v>200</v>
      </c>
      <c r="I5" s="1"/>
      <c r="J5" s="1"/>
      <c r="K5" s="1"/>
      <c r="L5" s="1"/>
      <c r="M5" s="1">
        <v>400</v>
      </c>
      <c r="N5" s="1">
        <v>400</v>
      </c>
    </row>
    <row r="6" spans="2:17" ht="23.25" customHeight="1" x14ac:dyDescent="0.25">
      <c r="B6" s="2" t="s">
        <v>15</v>
      </c>
      <c r="C6" s="1">
        <v>4000</v>
      </c>
      <c r="D6" s="1">
        <v>4000</v>
      </c>
      <c r="E6" s="1">
        <v>4500</v>
      </c>
      <c r="F6" s="1">
        <v>5000</v>
      </c>
      <c r="G6" s="1">
        <v>5000</v>
      </c>
      <c r="H6" s="1">
        <v>5300</v>
      </c>
      <c r="I6" s="1">
        <v>5500</v>
      </c>
      <c r="J6" s="1">
        <v>5750</v>
      </c>
      <c r="K6" s="1">
        <v>6000</v>
      </c>
      <c r="L6" s="1">
        <v>6000</v>
      </c>
      <c r="M6" s="1">
        <v>5800</v>
      </c>
      <c r="N6" s="1">
        <v>5900</v>
      </c>
    </row>
    <row r="7" spans="2:17" ht="23.25" customHeight="1" x14ac:dyDescent="0.25">
      <c r="B7" s="2" t="s">
        <v>16</v>
      </c>
      <c r="C7" s="1">
        <f>C6*0.03</f>
        <v>120</v>
      </c>
      <c r="D7" s="1">
        <f t="shared" ref="D7:N7" si="0">D6*0.03</f>
        <v>120</v>
      </c>
      <c r="E7" s="1">
        <f t="shared" si="0"/>
        <v>135</v>
      </c>
      <c r="F7" s="1">
        <f t="shared" si="0"/>
        <v>150</v>
      </c>
      <c r="G7" s="1">
        <f t="shared" si="0"/>
        <v>150</v>
      </c>
      <c r="H7" s="1">
        <f t="shared" si="0"/>
        <v>159</v>
      </c>
      <c r="I7" s="1">
        <f t="shared" si="0"/>
        <v>165</v>
      </c>
      <c r="J7" s="1">
        <f t="shared" si="0"/>
        <v>172.5</v>
      </c>
      <c r="K7" s="1">
        <f t="shared" si="0"/>
        <v>180</v>
      </c>
      <c r="L7" s="1">
        <f t="shared" si="0"/>
        <v>180</v>
      </c>
      <c r="M7" s="1">
        <f t="shared" si="0"/>
        <v>174</v>
      </c>
      <c r="N7" s="1">
        <f t="shared" si="0"/>
        <v>177</v>
      </c>
    </row>
    <row r="8" spans="2:17" ht="23.25" customHeight="1" x14ac:dyDescent="0.25">
      <c r="B8" s="2" t="s">
        <v>17</v>
      </c>
      <c r="C8" s="1">
        <f>SUM(C6:C7)</f>
        <v>4120</v>
      </c>
      <c r="D8" s="1">
        <f t="shared" ref="D8:N8" si="1">SUM(D6:D7)</f>
        <v>4120</v>
      </c>
      <c r="E8" s="1">
        <f t="shared" si="1"/>
        <v>4635</v>
      </c>
      <c r="F8" s="1">
        <f t="shared" si="1"/>
        <v>5150</v>
      </c>
      <c r="G8" s="1">
        <f t="shared" si="1"/>
        <v>5150</v>
      </c>
      <c r="H8" s="1">
        <f t="shared" si="1"/>
        <v>5459</v>
      </c>
      <c r="I8" s="1">
        <f t="shared" si="1"/>
        <v>5665</v>
      </c>
      <c r="J8" s="1">
        <f t="shared" si="1"/>
        <v>5922.5</v>
      </c>
      <c r="K8" s="1">
        <f t="shared" si="1"/>
        <v>6180</v>
      </c>
      <c r="L8" s="1">
        <f t="shared" si="1"/>
        <v>6180</v>
      </c>
      <c r="M8" s="1">
        <f t="shared" si="1"/>
        <v>5974</v>
      </c>
      <c r="N8" s="1">
        <f t="shared" si="1"/>
        <v>6077</v>
      </c>
    </row>
    <row r="9" spans="2:17" ht="23.25" customHeight="1" x14ac:dyDescent="0.25">
      <c r="B9" s="2" t="s">
        <v>14</v>
      </c>
      <c r="C9" s="1"/>
      <c r="D9" s="1"/>
      <c r="E9" s="1"/>
      <c r="F9" s="1"/>
      <c r="G9" s="1"/>
      <c r="H9" s="1"/>
      <c r="I9" s="1"/>
      <c r="J9" s="1"/>
      <c r="K9" s="1"/>
      <c r="L9" s="1"/>
      <c r="M9" s="1">
        <v>500</v>
      </c>
      <c r="N9" s="1">
        <v>400</v>
      </c>
    </row>
    <row r="10" spans="2:17" ht="23.25" customHeight="1" x14ac:dyDescent="0.25">
      <c r="B10" s="2" t="s">
        <v>18</v>
      </c>
      <c r="C10" s="1">
        <f>SUM(C8:C9)</f>
        <v>4120</v>
      </c>
      <c r="D10" s="1">
        <f t="shared" ref="D10:N10" si="2">SUM(D8:D9)</f>
        <v>4120</v>
      </c>
      <c r="E10" s="1">
        <f t="shared" si="2"/>
        <v>4635</v>
      </c>
      <c r="F10" s="1">
        <f t="shared" si="2"/>
        <v>5150</v>
      </c>
      <c r="G10" s="1">
        <f t="shared" si="2"/>
        <v>5150</v>
      </c>
      <c r="H10" s="1">
        <f t="shared" si="2"/>
        <v>5459</v>
      </c>
      <c r="I10" s="1">
        <f t="shared" si="2"/>
        <v>5665</v>
      </c>
      <c r="J10" s="1">
        <f t="shared" si="2"/>
        <v>5922.5</v>
      </c>
      <c r="K10" s="1">
        <f t="shared" si="2"/>
        <v>6180</v>
      </c>
      <c r="L10" s="1">
        <f t="shared" si="2"/>
        <v>6180</v>
      </c>
      <c r="M10" s="1">
        <f t="shared" si="2"/>
        <v>6474</v>
      </c>
      <c r="N10" s="1">
        <f t="shared" si="2"/>
        <v>6477</v>
      </c>
    </row>
    <row r="12" spans="2:17" ht="23.25" customHeight="1" x14ac:dyDescent="0.25">
      <c r="B12" s="10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2:17" ht="23.25" customHeight="1" x14ac:dyDescent="0.25">
      <c r="B13" s="3" t="s">
        <v>21</v>
      </c>
      <c r="C13" s="4" t="s">
        <v>22</v>
      </c>
      <c r="D13" s="4" t="s">
        <v>1</v>
      </c>
      <c r="E13" s="4" t="s">
        <v>2</v>
      </c>
      <c r="F13" s="4" t="s">
        <v>3</v>
      </c>
      <c r="G13" s="4" t="s">
        <v>4</v>
      </c>
      <c r="H13" s="4" t="s">
        <v>5</v>
      </c>
      <c r="I13" s="4" t="s">
        <v>6</v>
      </c>
      <c r="J13" s="4" t="s">
        <v>7</v>
      </c>
      <c r="K13" s="4" t="s">
        <v>8</v>
      </c>
      <c r="L13" s="4" t="s">
        <v>9</v>
      </c>
      <c r="M13" s="4" t="s">
        <v>10</v>
      </c>
      <c r="N13" s="4" t="s">
        <v>11</v>
      </c>
      <c r="O13" s="4" t="s">
        <v>12</v>
      </c>
    </row>
    <row r="14" spans="2:17" ht="23.25" customHeight="1" x14ac:dyDescent="0.25">
      <c r="B14" s="3" t="s">
        <v>23</v>
      </c>
      <c r="C14" s="5"/>
      <c r="D14" s="6">
        <v>4120</v>
      </c>
      <c r="E14" s="6">
        <v>4120</v>
      </c>
      <c r="F14" s="6">
        <v>4635</v>
      </c>
      <c r="G14" s="6">
        <v>5150</v>
      </c>
      <c r="H14" s="6">
        <v>5150</v>
      </c>
      <c r="I14" s="6">
        <v>5459</v>
      </c>
      <c r="J14" s="6">
        <v>5665</v>
      </c>
      <c r="K14" s="6">
        <v>5922.5</v>
      </c>
      <c r="L14" s="6">
        <v>6180</v>
      </c>
      <c r="M14" s="6">
        <v>6180</v>
      </c>
      <c r="N14" s="6">
        <v>6474</v>
      </c>
      <c r="O14" s="6">
        <v>6477</v>
      </c>
    </row>
    <row r="15" spans="2:17" ht="23.25" customHeight="1" x14ac:dyDescent="0.25">
      <c r="B15" s="3" t="s">
        <v>24</v>
      </c>
      <c r="C15" s="5"/>
      <c r="D15" s="6">
        <v>5000</v>
      </c>
      <c r="E15" s="6">
        <v>4120</v>
      </c>
      <c r="F15" s="6">
        <v>4635</v>
      </c>
      <c r="G15" s="6">
        <v>5150</v>
      </c>
      <c r="H15" s="6">
        <v>5150</v>
      </c>
      <c r="I15" s="6">
        <v>5459</v>
      </c>
      <c r="J15" s="6">
        <v>5665</v>
      </c>
      <c r="K15" s="6">
        <v>5922.5</v>
      </c>
      <c r="L15" s="6">
        <v>6180</v>
      </c>
      <c r="M15" s="6">
        <v>6180</v>
      </c>
      <c r="N15" s="6">
        <v>6600</v>
      </c>
      <c r="O15" s="6">
        <v>5500</v>
      </c>
    </row>
    <row r="16" spans="2:17" ht="23.25" customHeight="1" x14ac:dyDescent="0.25">
      <c r="B16" s="3" t="s">
        <v>25</v>
      </c>
      <c r="C16" s="5">
        <v>500</v>
      </c>
      <c r="D16" s="6">
        <f>D15-D14+C16</f>
        <v>1380</v>
      </c>
      <c r="E16" s="6">
        <f t="shared" ref="E16:O16" si="3">E15-E14+D16</f>
        <v>1380</v>
      </c>
      <c r="F16" s="6">
        <f t="shared" si="3"/>
        <v>1380</v>
      </c>
      <c r="G16" s="6">
        <f t="shared" si="3"/>
        <v>1380</v>
      </c>
      <c r="H16" s="6">
        <f t="shared" si="3"/>
        <v>1380</v>
      </c>
      <c r="I16" s="6">
        <f t="shared" si="3"/>
        <v>1380</v>
      </c>
      <c r="J16" s="6">
        <f t="shared" si="3"/>
        <v>1380</v>
      </c>
      <c r="K16" s="6">
        <f t="shared" si="3"/>
        <v>1380</v>
      </c>
      <c r="L16" s="6">
        <f t="shared" si="3"/>
        <v>1380</v>
      </c>
      <c r="M16" s="6">
        <f t="shared" si="3"/>
        <v>1380</v>
      </c>
      <c r="N16" s="6">
        <f t="shared" si="3"/>
        <v>1506</v>
      </c>
      <c r="O16" s="6">
        <f t="shared" si="3"/>
        <v>529</v>
      </c>
      <c r="Q16" s="8"/>
    </row>
    <row r="17" spans="2:15" ht="23.25" customHeight="1" x14ac:dyDescent="0.25">
      <c r="B17" s="3" t="s">
        <v>26</v>
      </c>
      <c r="C17" s="5"/>
      <c r="D17" s="6">
        <v>18</v>
      </c>
      <c r="E17" s="6">
        <v>16</v>
      </c>
      <c r="F17" s="6">
        <v>20</v>
      </c>
      <c r="G17" s="6">
        <v>20</v>
      </c>
      <c r="H17" s="6">
        <v>20</v>
      </c>
      <c r="I17" s="6">
        <v>18</v>
      </c>
      <c r="J17" s="6">
        <v>18</v>
      </c>
      <c r="K17" s="6">
        <v>20</v>
      </c>
      <c r="L17" s="6">
        <v>20</v>
      </c>
      <c r="M17" s="6">
        <v>20</v>
      </c>
      <c r="N17" s="6">
        <v>22</v>
      </c>
      <c r="O17" s="6">
        <v>18</v>
      </c>
    </row>
    <row r="18" spans="2:15" ht="23.25" customHeight="1" x14ac:dyDescent="0.25">
      <c r="B18" s="3" t="s">
        <v>27</v>
      </c>
      <c r="C18" s="5"/>
      <c r="D18" s="6">
        <f>D17*310</f>
        <v>5580</v>
      </c>
      <c r="E18" s="6">
        <f t="shared" ref="E18:O18" si="4">E17*320</f>
        <v>5120</v>
      </c>
      <c r="F18" s="6">
        <f t="shared" si="4"/>
        <v>6400</v>
      </c>
      <c r="G18" s="6">
        <f t="shared" si="4"/>
        <v>6400</v>
      </c>
      <c r="H18" s="6">
        <f t="shared" si="4"/>
        <v>6400</v>
      </c>
      <c r="I18" s="6">
        <f t="shared" si="4"/>
        <v>5760</v>
      </c>
      <c r="J18" s="6">
        <f t="shared" si="4"/>
        <v>5760</v>
      </c>
      <c r="K18" s="6">
        <f t="shared" si="4"/>
        <v>6400</v>
      </c>
      <c r="L18" s="6">
        <f t="shared" si="4"/>
        <v>6400</v>
      </c>
      <c r="M18" s="6">
        <f t="shared" si="4"/>
        <v>6400</v>
      </c>
      <c r="N18" s="6">
        <f t="shared" si="4"/>
        <v>7040</v>
      </c>
      <c r="O18" s="6">
        <f t="shared" si="4"/>
        <v>5760</v>
      </c>
    </row>
    <row r="19" spans="2:15" ht="23.25" customHeight="1" x14ac:dyDescent="0.25">
      <c r="B19" s="3" t="s">
        <v>28</v>
      </c>
      <c r="C19" s="5"/>
      <c r="D19" s="7">
        <f>D15/D18*100</f>
        <v>89.605734767025098</v>
      </c>
      <c r="E19" s="7">
        <f t="shared" ref="E19:O19" si="5">E15/E18*100</f>
        <v>80.46875</v>
      </c>
      <c r="F19" s="7">
        <f t="shared" si="5"/>
        <v>72.421875</v>
      </c>
      <c r="G19" s="7">
        <f t="shared" si="5"/>
        <v>80.46875</v>
      </c>
      <c r="H19" s="7">
        <f t="shared" si="5"/>
        <v>80.46875</v>
      </c>
      <c r="I19" s="7">
        <f t="shared" si="5"/>
        <v>94.774305555555557</v>
      </c>
      <c r="J19" s="7">
        <f t="shared" si="5"/>
        <v>98.350694444444443</v>
      </c>
      <c r="K19" s="7">
        <f t="shared" si="5"/>
        <v>92.5390625</v>
      </c>
      <c r="L19" s="7">
        <f t="shared" si="5"/>
        <v>96.5625</v>
      </c>
      <c r="M19" s="7">
        <f t="shared" si="5"/>
        <v>96.5625</v>
      </c>
      <c r="N19" s="7">
        <f t="shared" si="5"/>
        <v>93.75</v>
      </c>
      <c r="O19" s="7">
        <f t="shared" si="5"/>
        <v>95.486111111111114</v>
      </c>
    </row>
    <row r="20" spans="2:15" ht="23.25" customHeight="1" x14ac:dyDescent="0.25">
      <c r="B20" s="3" t="s">
        <v>29</v>
      </c>
      <c r="C20" s="5"/>
      <c r="D20" s="6">
        <f>D15*0.5</f>
        <v>2500</v>
      </c>
      <c r="E20" s="6">
        <f t="shared" ref="E20:O20" si="6">E15*0.5</f>
        <v>2060</v>
      </c>
      <c r="F20" s="6">
        <f t="shared" si="6"/>
        <v>2317.5</v>
      </c>
      <c r="G20" s="6">
        <f t="shared" si="6"/>
        <v>2575</v>
      </c>
      <c r="H20" s="6">
        <f t="shared" si="6"/>
        <v>2575</v>
      </c>
      <c r="I20" s="6">
        <f t="shared" si="6"/>
        <v>2729.5</v>
      </c>
      <c r="J20" s="6">
        <f t="shared" si="6"/>
        <v>2832.5</v>
      </c>
      <c r="K20" s="6">
        <f t="shared" si="6"/>
        <v>2961.25</v>
      </c>
      <c r="L20" s="6">
        <f t="shared" si="6"/>
        <v>3090</v>
      </c>
      <c r="M20" s="6">
        <f t="shared" si="6"/>
        <v>3090</v>
      </c>
      <c r="N20" s="6">
        <f t="shared" si="6"/>
        <v>3300</v>
      </c>
      <c r="O20" s="6">
        <f t="shared" si="6"/>
        <v>2750</v>
      </c>
    </row>
    <row r="21" spans="2:15" ht="23.25" customHeight="1" x14ac:dyDescent="0.25">
      <c r="B21" s="3" t="s">
        <v>30</v>
      </c>
      <c r="C21" s="5"/>
      <c r="D21" s="6">
        <f>D15*0.3</f>
        <v>1500</v>
      </c>
      <c r="E21" s="6">
        <f t="shared" ref="E21:O21" si="7">E15*0.3</f>
        <v>1236</v>
      </c>
      <c r="F21" s="6">
        <f t="shared" si="7"/>
        <v>1390.5</v>
      </c>
      <c r="G21" s="6">
        <f t="shared" si="7"/>
        <v>1545</v>
      </c>
      <c r="H21" s="6">
        <f t="shared" si="7"/>
        <v>1545</v>
      </c>
      <c r="I21" s="6">
        <f t="shared" si="7"/>
        <v>1637.7</v>
      </c>
      <c r="J21" s="6">
        <f t="shared" si="7"/>
        <v>1699.5</v>
      </c>
      <c r="K21" s="6">
        <f t="shared" si="7"/>
        <v>1776.75</v>
      </c>
      <c r="L21" s="6">
        <f t="shared" si="7"/>
        <v>1854</v>
      </c>
      <c r="M21" s="6">
        <f t="shared" si="7"/>
        <v>1854</v>
      </c>
      <c r="N21" s="6">
        <f t="shared" si="7"/>
        <v>1980</v>
      </c>
      <c r="O21" s="6">
        <f t="shared" si="7"/>
        <v>1650</v>
      </c>
    </row>
    <row r="22" spans="2:15" ht="23.25" customHeight="1" x14ac:dyDescent="0.25">
      <c r="B22" s="3" t="s">
        <v>31</v>
      </c>
      <c r="C22" s="5"/>
      <c r="D22" s="6">
        <f>D15*0.2</f>
        <v>1000</v>
      </c>
      <c r="E22" s="6">
        <f t="shared" ref="E22:O22" si="8">E15*0.2</f>
        <v>824</v>
      </c>
      <c r="F22" s="6">
        <f t="shared" si="8"/>
        <v>927</v>
      </c>
      <c r="G22" s="6">
        <f t="shared" si="8"/>
        <v>1030</v>
      </c>
      <c r="H22" s="6">
        <f t="shared" si="8"/>
        <v>1030</v>
      </c>
      <c r="I22" s="6">
        <f t="shared" si="8"/>
        <v>1091.8</v>
      </c>
      <c r="J22" s="6">
        <f t="shared" si="8"/>
        <v>1133</v>
      </c>
      <c r="K22" s="6">
        <f t="shared" si="8"/>
        <v>1184.5</v>
      </c>
      <c r="L22" s="6">
        <f t="shared" si="8"/>
        <v>1236</v>
      </c>
      <c r="M22" s="6">
        <f t="shared" si="8"/>
        <v>1236</v>
      </c>
      <c r="N22" s="6">
        <f t="shared" si="8"/>
        <v>1320</v>
      </c>
      <c r="O22" s="6">
        <f t="shared" si="8"/>
        <v>1100</v>
      </c>
    </row>
  </sheetData>
  <mergeCells count="2">
    <mergeCell ref="B2:N2"/>
    <mergeCell ref="B12:O12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E4DF323B14F64D9B0544FDB6B090CB" ma:contentTypeVersion="38" ma:contentTypeDescription="Create a new document." ma:contentTypeScope="" ma:versionID="b99af0b7613e1f6a0b9068a2b9827a1c">
  <xsd:schema xmlns:xsd="http://www.w3.org/2001/XMLSchema" xmlns:xs="http://www.w3.org/2001/XMLSchema" xmlns:p="http://schemas.microsoft.com/office/2006/metadata/properties" xmlns:ns1="http://schemas.microsoft.com/sharepoint/v3" xmlns:ns3="d7b949f1-d158-4e1b-b136-43e953bfe34b" xmlns:ns4="383c1156-6cab-4599-9fb8-b5398fc747da" targetNamespace="http://schemas.microsoft.com/office/2006/metadata/properties" ma:root="true" ma:fieldsID="3bc9005e9e7644b73ed9f6a0909bd16b" ns1:_="" ns3:_="" ns4:_="">
    <xsd:import namespace="http://schemas.microsoft.com/sharepoint/v3"/>
    <xsd:import namespace="d7b949f1-d158-4e1b-b136-43e953bfe34b"/>
    <xsd:import namespace="383c1156-6cab-4599-9fb8-b5398fc747d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NotebookType" minOccurs="0"/>
                <xsd:element ref="ns4:FolderType" minOccurs="0"/>
                <xsd:element ref="ns4:Owner" minOccurs="0"/>
                <xsd:element ref="ns4:DefaultSectionNames" minOccurs="0"/>
                <xsd:element ref="ns4:Templates" minOccurs="0"/>
                <xsd:element ref="ns4:CultureName" minOccurs="0"/>
                <xsd:element ref="ns4:AppVersion" minOccurs="0"/>
                <xsd:element ref="ns4:Teachers" minOccurs="0"/>
                <xsd:element ref="ns4:Students" minOccurs="0"/>
                <xsd:element ref="ns4:Student_Groups" minOccurs="0"/>
                <xsd:element ref="ns4:Invited_Teachers" minOccurs="0"/>
                <xsd:element ref="ns4:Invited_Students" minOccurs="0"/>
                <xsd:element ref="ns4:Self_Registration_Enabled" minOccurs="0"/>
                <xsd:element ref="ns4:Has_Teacher_Only_SectionGroup" minOccurs="0"/>
                <xsd:element ref="ns4:Is_Collaboration_Space_Locked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TeamsChannelId" minOccurs="0"/>
                <xsd:element ref="ns4:IsNotebookLocked" minOccurs="0"/>
                <xsd:element ref="ns4:MediaServiceEventHashCode" minOccurs="0"/>
                <xsd:element ref="ns4:MediaServiceGenerationTime" minOccurs="0"/>
                <xsd:element ref="ns4:Math_Settings" minOccurs="0"/>
                <xsd:element ref="ns4:MediaServiceLocation" minOccurs="0"/>
                <xsd:element ref="ns4:Distribution_Groups" minOccurs="0"/>
                <xsd:element ref="ns4:LMS_Mappings" minOccurs="0"/>
                <xsd:element ref="ns1:_ip_UnifiedCompliancePolicyProperties" minOccurs="0"/>
                <xsd:element ref="ns1:_ip_UnifiedCompliancePolicyUIAction" minOccurs="0"/>
                <xsd:element ref="ns4:MediaServiceAutoKeyPoints" minOccurs="0"/>
                <xsd:element ref="ns4:MediaServiceKeyPoints" minOccurs="0"/>
                <xsd:element ref="ns4:Teams_Channel_Section_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949f1-d158-4e1b-b136-43e953bfe34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c1156-6cab-4599-9fb8-b5398fc747da" elementFormDefault="qualified">
    <xsd:import namespace="http://schemas.microsoft.com/office/2006/documentManagement/types"/>
    <xsd:import namespace="http://schemas.microsoft.com/office/infopath/2007/PartnerControls"/>
    <xsd:element name="NotebookType" ma:index="11" nillable="true" ma:displayName="Notebook Type" ma:internalName="NotebookType">
      <xsd:simpleType>
        <xsd:restriction base="dms:Text"/>
      </xsd:simpleType>
    </xsd:element>
    <xsd:element name="FolderType" ma:index="12" nillable="true" ma:displayName="Folder Type" ma:internalName="FolderType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4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5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6" nillable="true" ma:displayName="Culture Name" ma:internalName="CultureName">
      <xsd:simpleType>
        <xsd:restriction base="dms:Text"/>
      </xsd:simpleType>
    </xsd:element>
    <xsd:element name="AppVersion" ma:index="17" nillable="true" ma:displayName="App Version" ma:internalName="AppVersion">
      <xsd:simpleType>
        <xsd:restriction base="dms:Text"/>
      </xsd:simpleType>
    </xsd:element>
    <xsd:element name="Teachers" ma:index="18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9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0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1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2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3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4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5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2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29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3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TeamsChannelId" ma:index="31" nillable="true" ma:displayName="Teams Channel Id" ma:internalName="TeamsChannelId">
      <xsd:simpleType>
        <xsd:restriction base="dms:Text"/>
      </xsd:simpleType>
    </xsd:element>
    <xsd:element name="IsNotebookLocked" ma:index="32" nillable="true" ma:displayName="Is Notebook Locked" ma:internalName="IsNotebookLocked">
      <xsd:simpleType>
        <xsd:restriction base="dms:Boolean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ath_Settings" ma:index="35" nillable="true" ma:displayName="Math Settings" ma:internalName="Math_Settings">
      <xsd:simpleType>
        <xsd:restriction base="dms:Text"/>
      </xsd:simpleType>
    </xsd:element>
    <xsd:element name="MediaServiceLocation" ma:index="36" nillable="true" ma:displayName="Location" ma:internalName="MediaServiceLocation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  <xsd:element name="MediaServiceAutoKeyPoints" ma:index="4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eams_Channel_Section_Location" ma:index="43" nillable="true" ma:displayName="Teams Channel Section Location" ma:internalName="Teams_Channel_Section_Location">
      <xsd:simpleType>
        <xsd:restriction base="dms:Text"/>
      </xsd:simpleType>
    </xsd:element>
    <xsd:element name="MediaLengthInSeconds" ma:index="44" nillable="true" ma:displayName="Length (seconds)" ma:internalName="MediaLengthInSeconds" ma:readOnly="true">
      <xsd:simpleType>
        <xsd:restriction base="dms:Unknown"/>
      </xsd:simpleType>
    </xsd:element>
    <xsd:element name="_activity" ma:index="45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383c1156-6cab-4599-9fb8-b5398fc747da">
      <UserInfo>
        <DisplayName/>
        <AccountId xsi:nil="true"/>
        <AccountType/>
      </UserInfo>
    </Owner>
    <CultureName xmlns="383c1156-6cab-4599-9fb8-b5398fc747da" xsi:nil="true"/>
    <Students xmlns="383c1156-6cab-4599-9fb8-b5398fc747da">
      <UserInfo>
        <DisplayName/>
        <AccountId xsi:nil="true"/>
        <AccountType/>
      </UserInfo>
    </Students>
    <Student_Groups xmlns="383c1156-6cab-4599-9fb8-b5398fc747da">
      <UserInfo>
        <DisplayName/>
        <AccountId xsi:nil="true"/>
        <AccountType/>
      </UserInfo>
    </Student_Groups>
    <_ip_UnifiedCompliancePolicyUIAction xmlns="http://schemas.microsoft.com/sharepoint/v3" xsi:nil="true"/>
    <Teams_Channel_Section_Location xmlns="383c1156-6cab-4599-9fb8-b5398fc747da" xsi:nil="true"/>
    <LMS_Mappings xmlns="383c1156-6cab-4599-9fb8-b5398fc747da" xsi:nil="true"/>
    <NotebookType xmlns="383c1156-6cab-4599-9fb8-b5398fc747da" xsi:nil="true"/>
    <_activity xmlns="383c1156-6cab-4599-9fb8-b5398fc747da" xsi:nil="true"/>
    <AppVersion xmlns="383c1156-6cab-4599-9fb8-b5398fc747da" xsi:nil="true"/>
    <IsNotebookLocked xmlns="383c1156-6cab-4599-9fb8-b5398fc747da" xsi:nil="true"/>
    <FolderType xmlns="383c1156-6cab-4599-9fb8-b5398fc747da" xsi:nil="true"/>
    <Teachers xmlns="383c1156-6cab-4599-9fb8-b5398fc747da">
      <UserInfo>
        <DisplayName/>
        <AccountId xsi:nil="true"/>
        <AccountType/>
      </UserInfo>
    </Teachers>
    <Distribution_Groups xmlns="383c1156-6cab-4599-9fb8-b5398fc747da" xsi:nil="true"/>
    <Templates xmlns="383c1156-6cab-4599-9fb8-b5398fc747da" xsi:nil="true"/>
    <Self_Registration_Enabled xmlns="383c1156-6cab-4599-9fb8-b5398fc747da" xsi:nil="true"/>
    <Has_Teacher_Only_SectionGroup xmlns="383c1156-6cab-4599-9fb8-b5398fc747da" xsi:nil="true"/>
    <_ip_UnifiedCompliancePolicyProperties xmlns="http://schemas.microsoft.com/sharepoint/v3" xsi:nil="true"/>
    <TeamsChannelId xmlns="383c1156-6cab-4599-9fb8-b5398fc747da" xsi:nil="true"/>
    <Math_Settings xmlns="383c1156-6cab-4599-9fb8-b5398fc747da" xsi:nil="true"/>
    <DefaultSectionNames xmlns="383c1156-6cab-4599-9fb8-b5398fc747da" xsi:nil="true"/>
    <Is_Collaboration_Space_Locked xmlns="383c1156-6cab-4599-9fb8-b5398fc747da" xsi:nil="true"/>
    <Invited_Students xmlns="383c1156-6cab-4599-9fb8-b5398fc747da" xsi:nil="true"/>
    <Invited_Teachers xmlns="383c1156-6cab-4599-9fb8-b5398fc747da" xsi:nil="true"/>
  </documentManagement>
</p:properties>
</file>

<file path=customXml/itemProps1.xml><?xml version="1.0" encoding="utf-8"?>
<ds:datastoreItem xmlns:ds="http://schemas.openxmlformats.org/officeDocument/2006/customXml" ds:itemID="{818B4EDF-2FB9-45D5-85EF-0A16D8C7EB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CC2F71-6AF4-4900-9BEB-B264398332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7b949f1-d158-4e1b-b136-43e953bfe34b"/>
    <ds:schemaRef ds:uri="383c1156-6cab-4599-9fb8-b5398fc747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1C818E-FAE9-43FD-B1E1-B6FB8DDD0EE6}">
  <ds:schemaRefs>
    <ds:schemaRef ds:uri="http://schemas.microsoft.com/office/2006/metadata/properties"/>
    <ds:schemaRef ds:uri="http://schemas.microsoft.com/office/infopath/2007/PartnerControls"/>
    <ds:schemaRef ds:uri="383c1156-6cab-4599-9fb8-b5398fc747da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khairulshafee_kalid</dc:creator>
  <cp:keywords/>
  <dc:description/>
  <cp:lastModifiedBy>Khan Reeyan Afzal</cp:lastModifiedBy>
  <cp:revision/>
  <dcterms:created xsi:type="dcterms:W3CDTF">2023-07-03T09:14:46Z</dcterms:created>
  <dcterms:modified xsi:type="dcterms:W3CDTF">2026-07-02T05:49:16Z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0x010100B1E4DF323B14F64D9B0544FDB6B090CB</vt:lpwstr>
  </property>
</Properties>
</file>